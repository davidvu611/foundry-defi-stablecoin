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xr:revisionPtr revIDLastSave="0" documentId="13_ncr:1_{80503C5E-C059-402F-A6DE-4B72DAE9D6BA}" xr6:coauthVersionLast="47" xr6:coauthVersionMax="47" xr10:uidLastSave="{00000000-0000-0000-0000-000000000000}"/>
  <bookViews>
    <workbookView xWindow="-110" yWindow="-110" windowWidth="19420" windowHeight="10300" xr2:uid="{AC9F9F7F-F481-4492-8106-372FD3B59896}"/>
  </bookViews>
  <sheets>
    <sheet name="Calculate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1" l="1"/>
  <c r="B2" i="2"/>
  <c r="I3" i="1"/>
  <c r="D4" i="1"/>
  <c r="D5" i="1"/>
  <c r="D6" i="1"/>
  <c r="D7" i="1"/>
  <c r="D8" i="1"/>
  <c r="D9" i="1"/>
  <c r="D10" i="1"/>
  <c r="D11" i="1"/>
  <c r="D12" i="1"/>
  <c r="D3" i="1"/>
  <c r="B5" i="1"/>
  <c r="E3" i="1" s="1"/>
  <c r="F3" i="1" l="1"/>
  <c r="J3" i="1"/>
  <c r="B6" i="1"/>
  <c r="L3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12" i="1"/>
  <c r="F12" i="1" s="1"/>
  <c r="E4" i="1"/>
  <c r="F4" i="1" s="1"/>
  <c r="E11" i="1"/>
  <c r="F11" i="1" s="1"/>
  <c r="K3" i="1" l="1"/>
  <c r="B8" i="1"/>
  <c r="M3" i="1" l="1"/>
  <c r="N3" i="1" s="1"/>
  <c r="O3" i="1" s="1"/>
  <c r="P3" i="1" s="1"/>
  <c r="Q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M2" authorId="0" shapeId="0" xr:uid="{3B51B1EC-AFD3-433A-8A7D-5BEF516A0685}">
      <text>
        <r>
          <rPr>
            <sz val="11"/>
            <color indexed="81"/>
            <rFont val="Tahoma"/>
            <charset val="1"/>
          </rPr>
          <t>Redeem to liquidator: redeem from burn + bonus</t>
        </r>
      </text>
    </comment>
  </commentList>
</comments>
</file>

<file path=xl/sharedStrings.xml><?xml version="1.0" encoding="utf-8"?>
<sst xmlns="http://schemas.openxmlformats.org/spreadsheetml/2006/main" count="29" uniqueCount="26">
  <si>
    <t>HF</t>
  </si>
  <si>
    <t>Initial ETH</t>
  </si>
  <si>
    <t>Minted DSC</t>
  </si>
  <si>
    <t>Backed USD</t>
  </si>
  <si>
    <t xml:space="preserve">Price </t>
  </si>
  <si>
    <t>Burn</t>
  </si>
  <si>
    <t>Remain</t>
  </si>
  <si>
    <t xml:space="preserve">DSC </t>
  </si>
  <si>
    <t>Health factor</t>
  </si>
  <si>
    <t>ETH</t>
  </si>
  <si>
    <t>Adj ETH</t>
  </si>
  <si>
    <t xml:space="preserve">Cover </t>
  </si>
  <si>
    <t>Redeem</t>
  </si>
  <si>
    <t>Collateral ETH</t>
  </si>
  <si>
    <t>Price</t>
  </si>
  <si>
    <t>%</t>
  </si>
  <si>
    <t xml:space="preserve">Value </t>
  </si>
  <si>
    <t>Backed (USD)</t>
  </si>
  <si>
    <t>Health Factor</t>
  </si>
  <si>
    <t>Collateralized</t>
  </si>
  <si>
    <t xml:space="preserve">Adjusted ETH </t>
  </si>
  <si>
    <t>Backed</t>
  </si>
  <si>
    <t>Bonus</t>
  </si>
  <si>
    <t>userMinted 6250000000000000000000 6250</t>
  </si>
  <si>
    <t xml:space="preserve">  userInUsd 10875000000000000000000 10875</t>
  </si>
  <si>
    <t xml:space="preserve">  userCollateral 7250000000000000000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</si>
</sst>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0.00000000000000000000"/>
    <numFmt numFmtId="167" formatCode="_(* #,##0.0000_);_(* \(#,##0.00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164" fontId="0" fillId="2" borderId="0" xfId="0" applyNumberForma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1" xfId="1" applyNumberFormat="1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vertical="center" wrapText="1"/>
    </xf>
    <xf numFmtId="164" fontId="1" fillId="0" borderId="1" xfId="1" applyNumberFormat="1" applyFont="1" applyFill="1" applyBorder="1" applyAlignment="1">
      <alignment horizontal="center" vertical="center" wrapText="1"/>
    </xf>
    <xf numFmtId="43" fontId="0" fillId="0" borderId="1" xfId="0" applyNumberFormat="1" applyBorder="1" applyAlignment="1">
      <alignment vertical="center" wrapText="1"/>
    </xf>
    <xf numFmtId="43" fontId="0" fillId="0" borderId="0" xfId="0" applyNumberFormat="1" applyAlignment="1">
      <alignment vertical="center" wrapText="1"/>
    </xf>
    <xf numFmtId="43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2" fontId="0" fillId="0" borderId="1" xfId="0" applyNumberForma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5" fontId="0" fillId="2" borderId="1" xfId="0" applyNumberFormat="1" applyFill="1" applyBorder="1" applyAlignment="1">
      <alignment horizontal="center" vertical="center" wrapText="1"/>
    </xf>
    <xf numFmtId="9" fontId="1" fillId="2" borderId="0" xfId="2" applyFont="1" applyFill="1" applyBorder="1" applyAlignment="1">
      <alignment vertical="center" wrapText="1"/>
    </xf>
    <xf numFmtId="164" fontId="1" fillId="2" borderId="0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164" fontId="1" fillId="0" borderId="0" xfId="1" applyNumberFormat="1" applyFont="1" applyFill="1" applyBorder="1" applyAlignment="1">
      <alignment horizontal="right" vertical="center" wrapText="1"/>
    </xf>
    <xf numFmtId="164" fontId="0" fillId="0" borderId="0" xfId="1" applyNumberFormat="1" applyFont="1" applyFill="1" applyBorder="1" applyAlignment="1">
      <alignment horizontal="right" vertical="center" wrapText="1"/>
    </xf>
    <xf numFmtId="167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0" fillId="0" borderId="3" xfId="1" applyNumberFormat="1" applyFont="1" applyFill="1" applyBorder="1" applyAlignment="1">
      <alignment horizontal="center" vertical="center" wrapText="1"/>
    </xf>
    <xf numFmtId="164" fontId="0" fillId="0" borderId="4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1D0BA-730B-44A4-A243-6040236B96AF}">
  <dimension ref="A1:Q12"/>
  <sheetViews>
    <sheetView tabSelected="1" topLeftCell="B1" zoomScale="145" zoomScaleNormal="145" workbookViewId="0">
      <selection activeCell="M3" sqref="M3"/>
    </sheetView>
  </sheetViews>
  <sheetFormatPr defaultRowHeight="14.5" x14ac:dyDescent="0.35"/>
  <cols>
    <col min="1" max="1" width="12.08984375" style="19" customWidth="1"/>
    <col min="2" max="2" width="7.6328125" style="2" customWidth="1"/>
    <col min="3" max="3" width="4.453125" style="15" bestFit="1" customWidth="1"/>
    <col min="4" max="4" width="6.453125" style="5" bestFit="1" customWidth="1"/>
    <col min="5" max="5" width="7.7265625" style="5" customWidth="1"/>
    <col min="6" max="6" width="6.1796875" style="15" customWidth="1"/>
    <col min="7" max="7" width="2" style="2" customWidth="1"/>
    <col min="8" max="8" width="4.90625" style="3" customWidth="1"/>
    <col min="9" max="9" width="7.26953125" style="3" bestFit="1" customWidth="1"/>
    <col min="10" max="10" width="7" style="3" customWidth="1"/>
    <col min="11" max="11" width="6.1796875" style="3" bestFit="1" customWidth="1"/>
    <col min="12" max="12" width="7.54296875" style="3" bestFit="1" customWidth="1"/>
    <col min="13" max="14" width="7.54296875" style="3" customWidth="1"/>
    <col min="15" max="16" width="7.7265625" style="3" customWidth="1"/>
    <col min="17" max="17" width="8.08984375" style="3" bestFit="1" customWidth="1"/>
    <col min="18" max="16384" width="8.7265625" style="2"/>
  </cols>
  <sheetData>
    <row r="1" spans="1:17" ht="20.5" customHeight="1" x14ac:dyDescent="0.35">
      <c r="A1" s="19" t="s">
        <v>22</v>
      </c>
      <c r="B1" s="17">
        <v>0.1</v>
      </c>
      <c r="C1" s="23" t="s">
        <v>14</v>
      </c>
      <c r="D1" s="24"/>
      <c r="E1" s="25" t="s">
        <v>17</v>
      </c>
      <c r="F1" s="27" t="s">
        <v>18</v>
      </c>
      <c r="H1" s="27" t="s">
        <v>11</v>
      </c>
      <c r="I1" s="27"/>
      <c r="J1" s="27" t="s">
        <v>7</v>
      </c>
      <c r="K1" s="27"/>
      <c r="L1" s="27"/>
      <c r="M1" s="27" t="s">
        <v>13</v>
      </c>
      <c r="N1" s="27"/>
      <c r="O1" s="27"/>
      <c r="P1" s="28" t="s">
        <v>17</v>
      </c>
      <c r="Q1" s="27" t="s">
        <v>0</v>
      </c>
    </row>
    <row r="2" spans="1:17" ht="16" customHeight="1" x14ac:dyDescent="0.35">
      <c r="A2" s="19" t="s">
        <v>19</v>
      </c>
      <c r="B2" s="17">
        <v>2</v>
      </c>
      <c r="C2" s="3" t="s">
        <v>15</v>
      </c>
      <c r="D2" s="5" t="s">
        <v>16</v>
      </c>
      <c r="E2" s="26"/>
      <c r="F2" s="27"/>
      <c r="G2" s="4"/>
      <c r="H2" s="3" t="s">
        <v>9</v>
      </c>
      <c r="I2" s="3" t="s">
        <v>10</v>
      </c>
      <c r="J2" s="3" t="s">
        <v>5</v>
      </c>
      <c r="K2" s="3" t="s">
        <v>22</v>
      </c>
      <c r="L2" s="3" t="s">
        <v>6</v>
      </c>
      <c r="M2" s="3" t="s">
        <v>12</v>
      </c>
      <c r="N2" s="3" t="s">
        <v>6</v>
      </c>
      <c r="O2" s="3" t="s">
        <v>21</v>
      </c>
      <c r="P2" s="29"/>
      <c r="Q2" s="27"/>
    </row>
    <row r="3" spans="1:17" x14ac:dyDescent="0.35">
      <c r="A3" s="20" t="s">
        <v>4</v>
      </c>
      <c r="B3" s="18">
        <v>2000</v>
      </c>
      <c r="C3" s="6">
        <v>0.75</v>
      </c>
      <c r="D3" s="5">
        <f>$B$3*C3</f>
        <v>1500</v>
      </c>
      <c r="E3" s="7">
        <f>($B$5)*D3</f>
        <v>7500</v>
      </c>
      <c r="F3" s="8">
        <f>E3/$B$7</f>
        <v>0.75</v>
      </c>
      <c r="G3" s="9"/>
      <c r="H3" s="16">
        <v>5</v>
      </c>
      <c r="I3" s="10">
        <f>H3/$B$2</f>
        <v>2.5</v>
      </c>
      <c r="J3" s="11">
        <f>I3*D3</f>
        <v>3750</v>
      </c>
      <c r="K3" s="11">
        <f>J3*B1</f>
        <v>375</v>
      </c>
      <c r="L3" s="11">
        <f>$B$6-J3</f>
        <v>6250</v>
      </c>
      <c r="M3" s="10">
        <f>(J3+K3)/D3</f>
        <v>2.75</v>
      </c>
      <c r="N3" s="10">
        <f>($B$4-M3)</f>
        <v>7.25</v>
      </c>
      <c r="O3" s="10">
        <f>N3/B2</f>
        <v>3.625</v>
      </c>
      <c r="P3" s="11">
        <f>O3*$D$3</f>
        <v>5437.5</v>
      </c>
      <c r="Q3" s="22">
        <f>P3/L3</f>
        <v>0.87</v>
      </c>
    </row>
    <row r="4" spans="1:17" x14ac:dyDescent="0.35">
      <c r="A4" s="19" t="s">
        <v>1</v>
      </c>
      <c r="B4" s="1">
        <v>10</v>
      </c>
      <c r="C4" s="6">
        <v>1</v>
      </c>
      <c r="D4" s="5">
        <f t="shared" ref="D4:D12" si="0">$B$3*C4</f>
        <v>2000</v>
      </c>
      <c r="E4" s="7">
        <f t="shared" ref="E4:E12" si="1">($B$5+(H4/$B$2))*D4</f>
        <v>10000</v>
      </c>
      <c r="F4" s="8">
        <f t="shared" ref="F4:F12" si="2">E4/$B$7</f>
        <v>1</v>
      </c>
      <c r="G4" s="9"/>
      <c r="H4" s="13"/>
      <c r="I4" s="13"/>
      <c r="J4" s="13"/>
      <c r="K4" s="13"/>
      <c r="L4" s="10"/>
      <c r="M4" s="10"/>
      <c r="N4" s="10"/>
      <c r="O4" s="10"/>
    </row>
    <row r="5" spans="1:17" x14ac:dyDescent="0.35">
      <c r="A5" s="19" t="s">
        <v>20</v>
      </c>
      <c r="B5" s="12">
        <f>B4/B2</f>
        <v>5</v>
      </c>
      <c r="C5" s="6">
        <v>1.25</v>
      </c>
      <c r="D5" s="5">
        <f t="shared" si="0"/>
        <v>2500</v>
      </c>
      <c r="E5" s="7">
        <f t="shared" si="1"/>
        <v>12500</v>
      </c>
      <c r="F5" s="8">
        <f t="shared" si="2"/>
        <v>1.25</v>
      </c>
      <c r="G5" s="9"/>
      <c r="H5" s="13"/>
      <c r="I5" s="13">
        <f>B6*2/D3</f>
        <v>13.333333333333334</v>
      </c>
      <c r="J5" s="13"/>
      <c r="K5" s="13"/>
    </row>
    <row r="6" spans="1:17" x14ac:dyDescent="0.35">
      <c r="A6" s="21" t="s">
        <v>3</v>
      </c>
      <c r="B6" s="12">
        <f>B5*B3</f>
        <v>10000</v>
      </c>
      <c r="C6" s="6">
        <v>1.5</v>
      </c>
      <c r="D6" s="5">
        <f t="shared" si="0"/>
        <v>3000</v>
      </c>
      <c r="E6" s="7">
        <f t="shared" si="1"/>
        <v>15000</v>
      </c>
      <c r="F6" s="8">
        <f t="shared" si="2"/>
        <v>1.5</v>
      </c>
      <c r="G6" s="9"/>
      <c r="H6" s="13"/>
      <c r="I6" s="13"/>
      <c r="J6" s="13"/>
      <c r="K6" s="13"/>
    </row>
    <row r="7" spans="1:17" x14ac:dyDescent="0.35">
      <c r="A7" s="19" t="s">
        <v>2</v>
      </c>
      <c r="B7" s="1">
        <v>10000</v>
      </c>
      <c r="C7" s="6">
        <v>1.75</v>
      </c>
      <c r="D7" s="5">
        <f t="shared" si="0"/>
        <v>3500</v>
      </c>
      <c r="E7" s="7">
        <f t="shared" si="1"/>
        <v>17500</v>
      </c>
      <c r="F7" s="8">
        <f t="shared" si="2"/>
        <v>1.75</v>
      </c>
      <c r="G7" s="9"/>
      <c r="H7" s="14"/>
      <c r="I7" s="14"/>
      <c r="J7" s="13"/>
      <c r="K7" s="13"/>
    </row>
    <row r="8" spans="1:17" x14ac:dyDescent="0.35">
      <c r="A8" s="19" t="s">
        <v>8</v>
      </c>
      <c r="B8" s="9">
        <f>B6/B7</f>
        <v>1</v>
      </c>
      <c r="C8" s="6">
        <v>2</v>
      </c>
      <c r="D8" s="5">
        <f t="shared" si="0"/>
        <v>4000</v>
      </c>
      <c r="E8" s="7">
        <f t="shared" si="1"/>
        <v>20000</v>
      </c>
      <c r="F8" s="8">
        <f t="shared" si="2"/>
        <v>2</v>
      </c>
      <c r="G8" s="9"/>
      <c r="H8" s="14"/>
      <c r="I8" s="14"/>
      <c r="J8" s="13"/>
      <c r="K8" s="13"/>
    </row>
    <row r="9" spans="1:17" x14ac:dyDescent="0.35">
      <c r="C9" s="6">
        <v>2.25</v>
      </c>
      <c r="D9" s="5">
        <f t="shared" si="0"/>
        <v>4500</v>
      </c>
      <c r="E9" s="7">
        <f t="shared" si="1"/>
        <v>22500</v>
      </c>
      <c r="F9" s="8">
        <f t="shared" si="2"/>
        <v>2.25</v>
      </c>
      <c r="G9" s="9"/>
      <c r="H9" s="13"/>
      <c r="I9" s="13"/>
      <c r="J9" s="13"/>
      <c r="K9" s="13"/>
    </row>
    <row r="10" spans="1:17" x14ac:dyDescent="0.35">
      <c r="C10" s="6">
        <v>2.5</v>
      </c>
      <c r="D10" s="5">
        <f t="shared" si="0"/>
        <v>5000</v>
      </c>
      <c r="E10" s="7">
        <f t="shared" si="1"/>
        <v>25000</v>
      </c>
      <c r="F10" s="8">
        <f t="shared" si="2"/>
        <v>2.5</v>
      </c>
      <c r="G10" s="9"/>
      <c r="H10" s="13"/>
      <c r="I10" s="13"/>
      <c r="J10" s="13"/>
      <c r="K10" s="13"/>
    </row>
    <row r="11" spans="1:17" x14ac:dyDescent="0.35">
      <c r="C11" s="6">
        <v>2.75</v>
      </c>
      <c r="D11" s="5">
        <f t="shared" si="0"/>
        <v>5500</v>
      </c>
      <c r="E11" s="7">
        <f t="shared" si="1"/>
        <v>27500</v>
      </c>
      <c r="F11" s="8">
        <f t="shared" si="2"/>
        <v>2.75</v>
      </c>
      <c r="G11" s="9"/>
      <c r="H11" s="13"/>
      <c r="I11" s="13"/>
      <c r="J11" s="13"/>
      <c r="K11" s="13"/>
    </row>
    <row r="12" spans="1:17" x14ac:dyDescent="0.35">
      <c r="C12" s="6">
        <v>3</v>
      </c>
      <c r="D12" s="5">
        <f t="shared" si="0"/>
        <v>6000</v>
      </c>
      <c r="E12" s="7">
        <f t="shared" si="1"/>
        <v>30000</v>
      </c>
      <c r="F12" s="8">
        <f t="shared" si="2"/>
        <v>3</v>
      </c>
      <c r="G12" s="9"/>
      <c r="H12" s="13"/>
      <c r="I12" s="13"/>
      <c r="J12" s="13"/>
      <c r="K12" s="13"/>
    </row>
  </sheetData>
  <mergeCells count="8">
    <mergeCell ref="C1:D1"/>
    <mergeCell ref="E1:E2"/>
    <mergeCell ref="F1:F2"/>
    <mergeCell ref="P1:P2"/>
    <mergeCell ref="Q1:Q2"/>
    <mergeCell ref="H1:I1"/>
    <mergeCell ref="J1:L1"/>
    <mergeCell ref="M1:O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BC87-C108-42B4-9374-5D79173F1BCD}">
  <dimension ref="A1:B3"/>
  <sheetViews>
    <sheetView zoomScale="145" zoomScaleNormal="145" workbookViewId="0">
      <selection activeCell="B2" sqref="B2"/>
    </sheetView>
  </sheetViews>
  <sheetFormatPr defaultRowHeight="14.5" x14ac:dyDescent="0.35"/>
  <cols>
    <col min="1" max="1" width="39.7265625" bestFit="1" customWidth="1"/>
  </cols>
  <sheetData>
    <row r="1" spans="1:2" x14ac:dyDescent="0.35">
      <c r="A1" t="s">
        <v>23</v>
      </c>
    </row>
    <row r="2" spans="1:2" x14ac:dyDescent="0.35">
      <c r="A2" t="s">
        <v>24</v>
      </c>
      <c r="B2">
        <f>10875/2/6250</f>
        <v>0.87</v>
      </c>
    </row>
    <row r="3" spans="1:2" x14ac:dyDescent="0.35">
      <c r="A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Vu</dc:creator>
  <cp:lastModifiedBy>Dung Vu</cp:lastModifiedBy>
  <dcterms:created xsi:type="dcterms:W3CDTF">2025-10-30T16:17:01Z</dcterms:created>
  <dcterms:modified xsi:type="dcterms:W3CDTF">2025-11-04T16:14:03Z</dcterms:modified>
</cp:coreProperties>
</file>